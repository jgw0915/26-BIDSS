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gw09\Downloads\"/>
    </mc:Choice>
  </mc:AlternateContent>
  <xr:revisionPtr revIDLastSave="0" documentId="13_ncr:1_{32642365-723E-4674-85F8-715E719F38E8}" xr6:coauthVersionLast="47" xr6:coauthVersionMax="47" xr10:uidLastSave="{00000000-0000-0000-0000-000000000000}"/>
  <bookViews>
    <workbookView xWindow="-120" yWindow="-120" windowWidth="29040" windowHeight="16440" tabRatio="500" activeTab="2" xr2:uid="{00000000-000D-0000-FFFF-FFFF00000000}"/>
  </bookViews>
  <sheets>
    <sheet name="Sheet1" sheetId="1" r:id="rId1"/>
    <sheet name="Mapping_Log" sheetId="2" r:id="rId2"/>
    <sheet name="Career Alignment" sheetId="3" r:id="rId3"/>
    <sheet name="Analytics Framework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5" i="1" l="1"/>
  <c r="E54" i="1"/>
  <c r="E53" i="1"/>
  <c r="E52" i="1"/>
  <c r="E51" i="1"/>
  <c r="E50" i="1"/>
  <c r="E49" i="1"/>
  <c r="E48" i="1"/>
  <c r="G3" i="1" s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F3" i="1" s="1"/>
</calcChain>
</file>

<file path=xl/sharedStrings.xml><?xml version="1.0" encoding="utf-8"?>
<sst xmlns="http://schemas.openxmlformats.org/spreadsheetml/2006/main" count="286" uniqueCount="124">
  <si>
    <t>Sl.No</t>
  </si>
  <si>
    <t xml:space="preserve">Do you possess or do you have an interest in possessing the following skill? </t>
  </si>
  <si>
    <t>Mark 1=Yes or 0=No</t>
  </si>
  <si>
    <t>Weight</t>
  </si>
  <si>
    <t>Weighted
Values</t>
  </si>
  <si>
    <t>BA</t>
  </si>
  <si>
    <t>DS</t>
  </si>
  <si>
    <t>Business &amp; Soft Skills (B)</t>
  </si>
  <si>
    <t xml:space="preserve">General Business knowledge and acumen </t>
  </si>
  <si>
    <t xml:space="preserve">Knowledge transference--Presentation communication skills </t>
  </si>
  <si>
    <t>Ethics/privacy/security</t>
  </si>
  <si>
    <t>Project management</t>
  </si>
  <si>
    <t>Defining metrics and KPIs</t>
  </si>
  <si>
    <t>Develop actionable insight based on data</t>
  </si>
  <si>
    <t>Develop strategies based on data</t>
  </si>
  <si>
    <t>Develop a plan of action to implement business decisions derived from the analyses</t>
  </si>
  <si>
    <t>Critical thinking</t>
  </si>
  <si>
    <t>Intellectual curiosity</t>
  </si>
  <si>
    <t xml:space="preserve">Express model output in business language </t>
  </si>
  <si>
    <t>Assess dollar value to the company of predictive models</t>
  </si>
  <si>
    <t xml:space="preserve">See the big picture </t>
  </si>
  <si>
    <t xml:space="preserve">Adaptive expertise </t>
  </si>
  <si>
    <t>Team skills</t>
  </si>
  <si>
    <t>Business Reporting</t>
  </si>
  <si>
    <t>Technical Skills (T)</t>
  </si>
  <si>
    <t>SQL, ETL, OLAP</t>
  </si>
  <si>
    <t>Data reporting</t>
  </si>
  <si>
    <t xml:space="preserve">Database Design and Management </t>
  </si>
  <si>
    <t xml:space="preserve">Data storytelling/data visualization </t>
  </si>
  <si>
    <t>Data warehousing</t>
  </si>
  <si>
    <t xml:space="preserve">IT knowledge and skills </t>
  </si>
  <si>
    <t>Business intelligence</t>
  </si>
  <si>
    <t>Data curation (data preparation)</t>
  </si>
  <si>
    <t>Process all data- structured and unstructured. Clean and validate them</t>
  </si>
  <si>
    <t>Software development</t>
  </si>
  <si>
    <t>Software and data management</t>
  </si>
  <si>
    <t>Proactive problem solving</t>
  </si>
  <si>
    <t>Technical or Computer science skills</t>
  </si>
  <si>
    <t xml:space="preserve">Product Development </t>
  </si>
  <si>
    <t>Analytical Skills (A)</t>
  </si>
  <si>
    <t>Analytics Tools</t>
  </si>
  <si>
    <t>Data mining; AI; Machine learning, Web/media mining and machine learning</t>
  </si>
  <si>
    <t>Visualization and dashboard design (e.g., Tableau)</t>
  </si>
  <si>
    <t>SAS</t>
  </si>
  <si>
    <t>Predictive analytics</t>
  </si>
  <si>
    <t>Python, R, Algorithms, other languages and coding</t>
  </si>
  <si>
    <t>Implementation of analytics and big data technologies</t>
  </si>
  <si>
    <t>Analytics methods</t>
  </si>
  <si>
    <t xml:space="preserve">Computational and statistical thinking </t>
  </si>
  <si>
    <t>Strong mathematical &amp; statistical foundations</t>
  </si>
  <si>
    <t>Model building and assessment (ensemble models)</t>
  </si>
  <si>
    <t>Data exploration (statistical analysis and visualization)</t>
  </si>
  <si>
    <t>Deep learning (TensorFlow, Keras)</t>
  </si>
  <si>
    <t>NLP</t>
  </si>
  <si>
    <t>Big data technologies (Spark, MapReduce, Hadoop, Snowflake)</t>
  </si>
  <si>
    <t>Prescriptive analytics</t>
  </si>
  <si>
    <t>Query the data via technical analytical packages through a knowledge of scripting, data representation, and transformation</t>
  </si>
  <si>
    <t>Strong foundation of Data Structures</t>
  </si>
  <si>
    <t>Process all data- structured and unstructured. Clean and validate them (XML, JSON)</t>
  </si>
  <si>
    <t>Working knowledge of code writing</t>
  </si>
  <si>
    <t>Data representation and transformation</t>
  </si>
  <si>
    <t>Key: Both; BA only; DS only</t>
  </si>
  <si>
    <t>Worksheet Question Title</t>
  </si>
  <si>
    <t>Form Answer</t>
  </si>
  <si>
    <t>Mapped Value (C)</t>
  </si>
  <si>
    <t>Form Entry ID</t>
  </si>
  <si>
    <t>Source HTML</t>
  </si>
  <si>
    <t>Yes</t>
  </si>
  <si>
    <t>Business Analytics Professional or Data Scientist_3.html</t>
  </si>
  <si>
    <t>No</t>
  </si>
  <si>
    <t>Career Alignment Result: Business Analytics Professional or Data Scientist</t>
  </si>
  <si>
    <t>RESULT: DATA SCIENTIST</t>
  </si>
  <si>
    <t>Career Fit</t>
  </si>
  <si>
    <t>Role</t>
  </si>
  <si>
    <t>Score</t>
  </si>
  <si>
    <t>Data Scientist</t>
  </si>
  <si>
    <t>Business Analytics Professional</t>
  </si>
  <si>
    <t>Competency Profile</t>
  </si>
  <si>
    <t>Skill</t>
  </si>
  <si>
    <t>Statistical Analysis</t>
  </si>
  <si>
    <t>Machine Learning</t>
  </si>
  <si>
    <t>Programming</t>
  </si>
  <si>
    <t>Data Management</t>
  </si>
  <si>
    <t>Business Understanding</t>
  </si>
  <si>
    <t>Communication</t>
  </si>
  <si>
    <t>Role Comparison</t>
  </si>
  <si>
    <t>Dimension</t>
  </si>
  <si>
    <t>Focus</t>
  </si>
  <si>
    <t>Predictive modeling</t>
  </si>
  <si>
    <t>Business decision support</t>
  </si>
  <si>
    <t>Tools</t>
  </si>
  <si>
    <t>Python / ML / Statistics</t>
  </si>
  <si>
    <t>BI tools / SQL</t>
  </si>
  <si>
    <t>Output</t>
  </si>
  <si>
    <t>Predictive models</t>
  </si>
  <si>
    <t>Dashboards / insights</t>
  </si>
  <si>
    <t>Skill emphasis</t>
  </si>
  <si>
    <t>Technical depth</t>
  </si>
  <si>
    <t>Business interpretation</t>
  </si>
  <si>
    <t>Source</t>
  </si>
  <si>
    <t>https://pubsonline.informs.org/do/10.1287/LYTX.2020.06.07/full/</t>
  </si>
  <si>
    <t>This dashboard combines worksheet responses with the skill-set framing from the INFORMS Analytics article.</t>
  </si>
  <si>
    <t>Analytics Framework + Your Result</t>
  </si>
  <si>
    <t>Article source</t>
  </si>
  <si>
    <t>Framework note</t>
  </si>
  <si>
    <t>The article/form contrasts Business Analytics Professional vs. Data Scientist skills across business &amp; soft skills, technical skills, and analytical skills.</t>
  </si>
  <si>
    <t>Role Fit</t>
  </si>
  <si>
    <t>Domain Achievement</t>
  </si>
  <si>
    <t>Domain</t>
  </si>
  <si>
    <t>Achieved</t>
  </si>
  <si>
    <t>Max</t>
  </si>
  <si>
    <t>Business &amp; Soft Skills</t>
  </si>
  <si>
    <t>Technical Skills</t>
  </si>
  <si>
    <t>Analytical Skills</t>
  </si>
  <si>
    <t>Article-informed role lens</t>
  </si>
  <si>
    <t>Primary focus</t>
  </si>
  <si>
    <t>Predictive modeling &amp; ML</t>
  </si>
  <si>
    <t>Typical tools</t>
  </si>
  <si>
    <t>Python, ML, statistics, big data</t>
  </si>
  <si>
    <t>Programming, data management, statistical thinking</t>
  </si>
  <si>
    <t>High-signal strengths from my worksheet</t>
    <phoneticPr fontId="16" type="noConversion"/>
  </si>
  <si>
    <t>Business decision support</t>
    <phoneticPr fontId="16" type="noConversion"/>
  </si>
  <si>
    <t>BI tools, SQL, dashboards</t>
    <phoneticPr fontId="16" type="noConversion"/>
  </si>
  <si>
    <t>Business, understanding, communication, KPI framing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</si>
</sst>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7" x14ac:knownFonts="1">
    <font>
      <sz val="12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2"/>
      <color rgb="FF92278F"/>
      <name val="Calibri"/>
      <family val="2"/>
      <charset val="1"/>
    </font>
    <font>
      <sz val="11"/>
      <color rgb="FF0000FF"/>
      <name val="Cambria"/>
      <charset val="1"/>
    </font>
    <font>
      <sz val="11"/>
      <color rgb="FF808080"/>
      <name val="Cambria"/>
      <charset val="1"/>
    </font>
    <font>
      <sz val="11"/>
      <color rgb="FF000000"/>
      <name val="Cambria"/>
      <charset val="1"/>
    </font>
    <font>
      <b/>
      <sz val="11"/>
      <color rgb="FF3F3F3F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B050"/>
      <name val="Calibri"/>
      <family val="2"/>
      <charset val="1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6"/>
      <name val="Cambria"/>
      <charset val="1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1F4E78"/>
        <bgColor rgb="FF003366"/>
      </patternFill>
    </fill>
    <fill>
      <patternFill patternType="solid">
        <fgColor rgb="FFEDEDED"/>
        <bgColor rgb="FFF2F2F2"/>
      </patternFill>
    </fill>
    <fill>
      <patternFill patternType="solid">
        <fgColor rgb="FFD9EAF7"/>
        <bgColor rgb="FFEDEDED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2" borderId="1"/>
  </cellStyleXfs>
  <cellXfs count="32">
    <xf numFmtId="0" fontId="0" fillId="0" borderId="0" xfId="0"/>
    <xf numFmtId="0" fontId="0" fillId="0" borderId="0" xfId="0" applyFont="1" applyBorder="1" applyAlignment="1">
      <alignment vertical="top" wrapText="1"/>
    </xf>
    <xf numFmtId="0" fontId="15" fillId="5" borderId="0" xfId="0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0" borderId="2" xfId="0" applyFont="1" applyBorder="1" applyAlignment="1">
      <alignment vertical="center" wrapText="1"/>
    </xf>
    <xf numFmtId="1" fontId="4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/>
    <xf numFmtId="0" fontId="6" fillId="0" borderId="2" xfId="0" applyFont="1" applyBorder="1"/>
    <xf numFmtId="176" fontId="7" fillId="2" borderId="2" xfId="1" applyNumberFormat="1" applyFont="1" applyBorder="1"/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2" fillId="4" borderId="0" xfId="0" applyFont="1" applyFill="1"/>
    <xf numFmtId="0" fontId="10" fillId="0" borderId="2" xfId="0" applyFont="1" applyBorder="1" applyAlignment="1">
      <alignment vertical="center" wrapText="1"/>
    </xf>
    <xf numFmtId="0" fontId="2" fillId="4" borderId="2" xfId="0" applyFont="1" applyFill="1" applyBorder="1"/>
    <xf numFmtId="0" fontId="8" fillId="0" borderId="0" xfId="0" applyFont="1"/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2" fillId="0" borderId="0" xfId="0" applyFont="1"/>
    <xf numFmtId="0" fontId="1" fillId="3" borderId="0" xfId="0" applyFont="1" applyFill="1"/>
    <xf numFmtId="176" fontId="1" fillId="3" borderId="0" xfId="0" applyNumberFormat="1" applyFont="1" applyFill="1" applyAlignment="1">
      <alignment horizontal="center"/>
    </xf>
    <xf numFmtId="0" fontId="0" fillId="0" borderId="0" xfId="0" applyFont="1" applyAlignment="1">
      <alignment vertical="center"/>
    </xf>
    <xf numFmtId="176" fontId="0" fillId="0" borderId="0" xfId="0" applyNumberFormat="1" applyAlignment="1">
      <alignment horizontal="center"/>
    </xf>
    <xf numFmtId="0" fontId="1" fillId="3" borderId="0" xfId="0" applyFont="1" applyFill="1" applyAlignment="1">
      <alignment vertical="top" wrapText="1"/>
    </xf>
    <xf numFmtId="0" fontId="0" fillId="0" borderId="0" xfId="0" applyFont="1" applyAlignment="1">
      <alignment vertical="top" wrapText="1"/>
    </xf>
  </cellXfs>
  <cellStyles count="2">
    <cellStyle name="Excel Built-in Output" xfId="1" xr:uid="{00000000-0005-0000-0000-000006000000}"/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2278F"/>
      <rgbColor rgb="FFF2F2F2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8B8B8B"/>
      <rgbColor rgb="FF003366"/>
      <rgbColor rgb="FF00B050"/>
      <rgbColor rgb="FF003300"/>
      <rgbColor rgb="FF333300"/>
      <rgbColor rgb="FF993300"/>
      <rgbColor rgb="FF7030A0"/>
      <rgbColor rgb="FF1F4E78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Career Alignment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'Career Alignment'!$C$9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B9B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835-40F6-A525-3F4943BFEE2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835-40F6-A525-3F4943BFEE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zh-TW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835-40F6-A525-3F4943BFEE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zh-TW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835-40F6-A525-3F4943BFEE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zh-TW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'Career Alignment'!$B$10:$B$11</c:f>
              <c:strCache>
                <c:ptCount val="2"/>
                <c:pt idx="0">
                  <c:v>Data Scientist</c:v>
                </c:pt>
                <c:pt idx="1">
                  <c:v>Business Analytics Professional</c:v>
                </c:pt>
              </c:strCache>
            </c:strRef>
          </c:cat>
          <c:val>
            <c:numRef>
              <c:f>'Career Alignment'!$C$10:$C$11</c:f>
              <c:numCache>
                <c:formatCode>General</c:formatCode>
                <c:ptCount val="2"/>
                <c:pt idx="0">
                  <c:v>77.099999999999994</c:v>
                </c:pt>
                <c:pt idx="1">
                  <c:v>63.9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35-40F6-A525-3F4943BFE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Analytics Competency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'Career Alignment'!$C$15</c:f>
              <c:strCache>
                <c:ptCount val="1"/>
                <c:pt idx="0">
                  <c:v>Score</c:v>
                </c:pt>
              </c:strCache>
            </c:strRef>
          </c:tx>
          <c:spPr>
            <a:ln w="442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42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'Career Alignment'!$B$16:$B$21</c:f>
              <c:strCache>
                <c:ptCount val="6"/>
                <c:pt idx="0">
                  <c:v>Statistical Analysis</c:v>
                </c:pt>
                <c:pt idx="1">
                  <c:v>Machine Learning</c:v>
                </c:pt>
                <c:pt idx="2">
                  <c:v>Programming</c:v>
                </c:pt>
                <c:pt idx="3">
                  <c:v>Data Management</c:v>
                </c:pt>
                <c:pt idx="4">
                  <c:v>Business Understanding</c:v>
                </c:pt>
                <c:pt idx="5">
                  <c:v>Communication</c:v>
                </c:pt>
              </c:strCache>
            </c:strRef>
          </c:cat>
          <c:val>
            <c:numRef>
              <c:f>'Career Alignment'!$C$16:$C$21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2.5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9-46FF-8A45-776FD2E28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54621"/>
        <c:axId val="91722517"/>
      </c:radarChart>
      <c:catAx>
        <c:axId val="353546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91722517"/>
        <c:crosses val="autoZero"/>
        <c:auto val="1"/>
        <c:lblAlgn val="ctr"/>
        <c:lblOffset val="100"/>
        <c:noMultiLvlLbl val="0"/>
      </c:catAx>
      <c:valAx>
        <c:axId val="91722517"/>
        <c:scaling>
          <c:orientation val="minMax"/>
          <c:max val="5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353546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Career Fit by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'Analytics Framework'!$C$9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5B9BD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FFFFF"/>
                      </a:solidFill>
                    </a:ln>
                  </c:spPr>
                </c15:leaderLines>
              </c:ext>
            </c:extLst>
          </c:dLbls>
          <c:cat>
            <c:strRef>
              <c:f>'Analytics Framework'!$B$10:$B$11</c:f>
              <c:strCache>
                <c:ptCount val="2"/>
                <c:pt idx="0">
                  <c:v>Data Scientist</c:v>
                </c:pt>
                <c:pt idx="1">
                  <c:v>Business Analytics Professional</c:v>
                </c:pt>
              </c:strCache>
            </c:strRef>
          </c:cat>
          <c:val>
            <c:numRef>
              <c:f>'Analytics Framework'!$C$10:$C$11</c:f>
              <c:numCache>
                <c:formatCode>0.0%</c:formatCode>
                <c:ptCount val="2"/>
                <c:pt idx="0">
                  <c:v>0.7712</c:v>
                </c:pt>
                <c:pt idx="1">
                  <c:v>0.63859999999999995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1-4292-B1C2-E97593AB6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381133"/>
        <c:axId val="31518471"/>
      </c:barChart>
      <c:catAx>
        <c:axId val="8738113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31518471"/>
        <c:crosses val="autoZero"/>
        <c:auto val="1"/>
        <c:lblAlgn val="ctr"/>
        <c:lblOffset val="100"/>
        <c:noMultiLvlLbl val="0"/>
      </c:catAx>
      <c:valAx>
        <c:axId val="31518471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873811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Achievement by Skill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'Analytics Framework'!$F$9</c:f>
              <c:strCache>
                <c:ptCount val="1"/>
                <c:pt idx="0">
                  <c:v>Achieved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FFFFF"/>
                      </a:solidFill>
                    </a:ln>
                  </c:spPr>
                </c15:leaderLines>
              </c:ext>
            </c:extLst>
          </c:dLbls>
          <c:cat>
            <c:strRef>
              <c:f>'Analytics Framework'!$E$10:$E$12</c:f>
              <c:strCache>
                <c:ptCount val="3"/>
                <c:pt idx="0">
                  <c:v>Business &amp; Soft Skills</c:v>
                </c:pt>
                <c:pt idx="1">
                  <c:v>Technical Skills</c:v>
                </c:pt>
                <c:pt idx="2">
                  <c:v>Analytical Skills</c:v>
                </c:pt>
              </c:strCache>
            </c:strRef>
          </c:cat>
          <c:val>
            <c:numRef>
              <c:f>'Analytics Framework'!$F$10:$F$12</c:f>
              <c:numCache>
                <c:formatCode>0.0%</c:formatCode>
                <c:ptCount val="3"/>
                <c:pt idx="0">
                  <c:v>0.52380000000000004</c:v>
                </c:pt>
                <c:pt idx="1">
                  <c:v>0.78949999999999998</c:v>
                </c:pt>
                <c:pt idx="2">
                  <c:v>0.77190000000000003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2-4EDD-9EDF-382E277CF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373184"/>
        <c:axId val="4964817"/>
      </c:barChart>
      <c:catAx>
        <c:axId val="653731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4964817"/>
        <c:crosses val="autoZero"/>
        <c:auto val="1"/>
        <c:lblAlgn val="ctr"/>
        <c:lblOffset val="100"/>
        <c:noMultiLvlLbl val="0"/>
      </c:catAx>
      <c:valAx>
        <c:axId val="496481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Achievement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TW"/>
          </a:p>
        </c:txPr>
        <c:crossAx val="653731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110762</xdr:colOff>
      <xdr:row>8</xdr:row>
      <xdr:rowOff>2831</xdr:rowOff>
    </xdr:from>
    <xdr:to>
      <xdr:col>10</xdr:col>
      <xdr:colOff>377957</xdr:colOff>
      <xdr:row>31</xdr:row>
      <xdr:rowOff>118752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116368</xdr:colOff>
      <xdr:row>7</xdr:row>
      <xdr:rowOff>135959</xdr:rowOff>
    </xdr:from>
    <xdr:to>
      <xdr:col>19</xdr:col>
      <xdr:colOff>110282</xdr:colOff>
      <xdr:row>27</xdr:row>
      <xdr:rowOff>39430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70236</xdr:colOff>
      <xdr:row>19</xdr:row>
      <xdr:rowOff>82343</xdr:rowOff>
    </xdr:from>
    <xdr:to>
      <xdr:col>2</xdr:col>
      <xdr:colOff>1330037</xdr:colOff>
      <xdr:row>30</xdr:row>
      <xdr:rowOff>156903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1451990</xdr:colOff>
      <xdr:row>19</xdr:row>
      <xdr:rowOff>90375</xdr:rowOff>
    </xdr:from>
    <xdr:to>
      <xdr:col>4</xdr:col>
      <xdr:colOff>2903</xdr:colOff>
      <xdr:row>30</xdr:row>
      <xdr:rowOff>178395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28" zoomScale="98" zoomScaleNormal="77" workbookViewId="0">
      <pane ySplit="2" topLeftCell="A30" activePane="bottomLeft" state="frozen"/>
      <selection activeCell="A28" sqref="A28"/>
      <selection pane="bottomLeft" activeCell="B53" sqref="B53"/>
    </sheetView>
  </sheetViews>
  <sheetFormatPr defaultColWidth="10.625" defaultRowHeight="15" customHeight="1" x14ac:dyDescent="0.25"/>
  <cols>
    <col min="1" max="1" width="8" customWidth="1"/>
    <col min="2" max="2" width="78" customWidth="1"/>
    <col min="3" max="3" width="18" customWidth="1"/>
    <col min="4" max="5" width="10" hidden="1" customWidth="1"/>
    <col min="6" max="7" width="12" customWidth="1"/>
  </cols>
  <sheetData>
    <row r="1" spans="1:7" ht="48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customHeight="1" x14ac:dyDescent="0.25">
      <c r="A2" s="5" t="s">
        <v>7</v>
      </c>
      <c r="B2" s="5"/>
      <c r="C2" s="5"/>
      <c r="D2" s="5"/>
      <c r="E2" s="5"/>
      <c r="F2" s="5"/>
      <c r="G2" s="5"/>
    </row>
    <row r="3" spans="1:7" ht="15.75" x14ac:dyDescent="0.25">
      <c r="A3" s="7">
        <v>1</v>
      </c>
      <c r="B3" s="8" t="s">
        <v>8</v>
      </c>
      <c r="C3" s="9">
        <v>1</v>
      </c>
      <c r="D3" s="10">
        <v>3</v>
      </c>
      <c r="E3" s="11">
        <f t="shared" ref="E3:E18" si="0">+(C3*D3)</f>
        <v>3</v>
      </c>
      <c r="F3" s="12">
        <f>+(E3+E4+E5+E6+E7+E8+E9+E10+E11+E12+E13+E14+E15+E16+E17+E18+E20+E21+E22+E23+E24+E25+E26+E27+E28+E31+E33+E37+E38+E39+E43)/83</f>
        <v>0.63855421686746983</v>
      </c>
      <c r="G3" s="12">
        <f>+(E3+E4+E5+E8+E11+E12+E13+E15+E16+E17+E18+E20+E21+E22+E23+E25+E27+E28+E29+E30+E31+E32+E33+E35+E36+E37+E39+E40+E41+E42+E43+E44+E45+E46+E47+E48+E49+E50+E51+E52+E53+E54+E55)/118</f>
        <v>0.77118644067796616</v>
      </c>
    </row>
    <row r="4" spans="1:7" ht="15.75" x14ac:dyDescent="0.25">
      <c r="A4" s="7">
        <v>2</v>
      </c>
      <c r="B4" s="8" t="s">
        <v>9</v>
      </c>
      <c r="C4" s="9">
        <v>0</v>
      </c>
      <c r="D4" s="10">
        <v>3</v>
      </c>
      <c r="E4" s="11">
        <f t="shared" si="0"/>
        <v>0</v>
      </c>
    </row>
    <row r="5" spans="1:7" ht="15.75" x14ac:dyDescent="0.25">
      <c r="A5" s="7">
        <v>3</v>
      </c>
      <c r="B5" s="13" t="s">
        <v>10</v>
      </c>
      <c r="C5" s="9">
        <v>1</v>
      </c>
      <c r="D5" s="10">
        <v>3</v>
      </c>
      <c r="E5" s="11">
        <f t="shared" si="0"/>
        <v>3</v>
      </c>
    </row>
    <row r="6" spans="1:7" ht="15.75" x14ac:dyDescent="0.25">
      <c r="A6" s="7">
        <v>4</v>
      </c>
      <c r="B6" s="14" t="s">
        <v>11</v>
      </c>
      <c r="C6" s="9">
        <v>0</v>
      </c>
      <c r="D6" s="10">
        <v>2</v>
      </c>
      <c r="E6" s="11">
        <f t="shared" si="0"/>
        <v>0</v>
      </c>
    </row>
    <row r="7" spans="1:7" ht="15.75" x14ac:dyDescent="0.25">
      <c r="A7" s="7">
        <v>5</v>
      </c>
      <c r="B7" s="14" t="s">
        <v>12</v>
      </c>
      <c r="C7" s="9">
        <v>1</v>
      </c>
      <c r="D7" s="10">
        <v>2</v>
      </c>
      <c r="E7" s="11">
        <f t="shared" si="0"/>
        <v>2</v>
      </c>
    </row>
    <row r="8" spans="1:7" ht="15.75" x14ac:dyDescent="0.25">
      <c r="A8" s="7">
        <v>6</v>
      </c>
      <c r="B8" s="13" t="s">
        <v>13</v>
      </c>
      <c r="C8" s="9">
        <v>0</v>
      </c>
      <c r="D8" s="10">
        <v>3</v>
      </c>
      <c r="E8" s="11">
        <f t="shared" si="0"/>
        <v>0</v>
      </c>
    </row>
    <row r="9" spans="1:7" ht="15.75" x14ac:dyDescent="0.25">
      <c r="A9" s="7">
        <v>7</v>
      </c>
      <c r="B9" s="14" t="s">
        <v>14</v>
      </c>
      <c r="C9" s="9">
        <v>1</v>
      </c>
      <c r="D9" s="10">
        <v>3</v>
      </c>
      <c r="E9" s="11">
        <f t="shared" si="0"/>
        <v>3</v>
      </c>
    </row>
    <row r="10" spans="1:7" ht="30.75" customHeight="1" x14ac:dyDescent="0.25">
      <c r="A10" s="7">
        <v>8</v>
      </c>
      <c r="B10" s="14" t="s">
        <v>15</v>
      </c>
      <c r="C10" s="9">
        <v>0</v>
      </c>
      <c r="D10" s="10">
        <v>3</v>
      </c>
      <c r="E10" s="11">
        <f t="shared" si="0"/>
        <v>0</v>
      </c>
    </row>
    <row r="11" spans="1:7" ht="15.75" x14ac:dyDescent="0.25">
      <c r="A11" s="7">
        <v>9</v>
      </c>
      <c r="B11" s="13" t="s">
        <v>16</v>
      </c>
      <c r="C11" s="9">
        <v>1</v>
      </c>
      <c r="D11" s="10">
        <v>3</v>
      </c>
      <c r="E11" s="11">
        <f t="shared" si="0"/>
        <v>3</v>
      </c>
    </row>
    <row r="12" spans="1:7" ht="15.75" x14ac:dyDescent="0.25">
      <c r="A12" s="7">
        <v>10</v>
      </c>
      <c r="B12" s="13" t="s">
        <v>17</v>
      </c>
      <c r="C12" s="9">
        <v>1</v>
      </c>
      <c r="D12" s="10">
        <v>3</v>
      </c>
      <c r="E12" s="11">
        <f t="shared" si="0"/>
        <v>3</v>
      </c>
    </row>
    <row r="13" spans="1:7" ht="15.75" x14ac:dyDescent="0.25">
      <c r="A13" s="7">
        <v>11</v>
      </c>
      <c r="B13" s="8" t="s">
        <v>18</v>
      </c>
      <c r="C13" s="9">
        <v>0</v>
      </c>
      <c r="D13" s="10">
        <v>2</v>
      </c>
      <c r="E13" s="11">
        <f t="shared" si="0"/>
        <v>0</v>
      </c>
    </row>
    <row r="14" spans="1:7" ht="15.75" x14ac:dyDescent="0.25">
      <c r="A14" s="7">
        <v>12</v>
      </c>
      <c r="B14" s="14" t="s">
        <v>19</v>
      </c>
      <c r="C14" s="9">
        <v>0</v>
      </c>
      <c r="D14" s="10">
        <v>2</v>
      </c>
      <c r="E14" s="11">
        <f t="shared" si="0"/>
        <v>0</v>
      </c>
    </row>
    <row r="15" spans="1:7" ht="15.75" x14ac:dyDescent="0.25">
      <c r="A15" s="7">
        <v>13</v>
      </c>
      <c r="B15" s="8" t="s">
        <v>20</v>
      </c>
      <c r="C15" s="9">
        <v>1</v>
      </c>
      <c r="D15" s="10">
        <v>2</v>
      </c>
      <c r="E15" s="11">
        <f t="shared" si="0"/>
        <v>2</v>
      </c>
    </row>
    <row r="16" spans="1:7" ht="15.75" x14ac:dyDescent="0.25">
      <c r="A16" s="7">
        <v>14</v>
      </c>
      <c r="B16" s="8" t="s">
        <v>21</v>
      </c>
      <c r="C16" s="9">
        <v>1</v>
      </c>
      <c r="D16" s="10">
        <v>3</v>
      </c>
      <c r="E16" s="11">
        <f t="shared" si="0"/>
        <v>3</v>
      </c>
    </row>
    <row r="17" spans="1:7" ht="15.75" x14ac:dyDescent="0.25">
      <c r="A17" s="7">
        <v>15</v>
      </c>
      <c r="B17" s="8" t="s">
        <v>22</v>
      </c>
      <c r="C17" s="9">
        <v>0</v>
      </c>
      <c r="D17" s="10">
        <v>3</v>
      </c>
      <c r="E17" s="11">
        <f t="shared" si="0"/>
        <v>0</v>
      </c>
    </row>
    <row r="18" spans="1:7" ht="15.75" x14ac:dyDescent="0.25">
      <c r="A18" s="7">
        <v>16</v>
      </c>
      <c r="B18" s="8" t="s">
        <v>23</v>
      </c>
      <c r="C18" s="9">
        <v>0</v>
      </c>
      <c r="D18" s="10">
        <v>2</v>
      </c>
      <c r="E18" s="11">
        <f t="shared" si="0"/>
        <v>0</v>
      </c>
    </row>
    <row r="19" spans="1:7" ht="15" customHeight="1" x14ac:dyDescent="0.25">
      <c r="A19" s="5" t="s">
        <v>24</v>
      </c>
      <c r="B19" s="5"/>
      <c r="C19" s="5"/>
      <c r="D19" s="5"/>
      <c r="E19" s="5"/>
      <c r="F19" s="15"/>
      <c r="G19" s="15"/>
    </row>
    <row r="20" spans="1:7" ht="15.75" x14ac:dyDescent="0.25">
      <c r="A20" s="7">
        <v>17</v>
      </c>
      <c r="B20" s="13" t="s">
        <v>25</v>
      </c>
      <c r="C20" s="9">
        <v>1</v>
      </c>
      <c r="D20" s="10">
        <v>3</v>
      </c>
      <c r="E20" s="11">
        <f t="shared" ref="E20:E33" si="1">+(C20*D20)</f>
        <v>3</v>
      </c>
    </row>
    <row r="21" spans="1:7" ht="15.75" x14ac:dyDescent="0.25">
      <c r="A21" s="7">
        <v>18</v>
      </c>
      <c r="B21" s="8" t="s">
        <v>26</v>
      </c>
      <c r="C21" s="9">
        <v>0</v>
      </c>
      <c r="D21" s="10">
        <v>3</v>
      </c>
      <c r="E21" s="11">
        <f t="shared" si="1"/>
        <v>0</v>
      </c>
    </row>
    <row r="22" spans="1:7" ht="15.75" x14ac:dyDescent="0.25">
      <c r="A22" s="7">
        <v>19</v>
      </c>
      <c r="B22" s="8" t="s">
        <v>27</v>
      </c>
      <c r="C22" s="9">
        <v>1</v>
      </c>
      <c r="D22" s="10">
        <v>2</v>
      </c>
      <c r="E22" s="11">
        <f t="shared" si="1"/>
        <v>2</v>
      </c>
    </row>
    <row r="23" spans="1:7" ht="15.75" x14ac:dyDescent="0.25">
      <c r="A23" s="7">
        <v>20</v>
      </c>
      <c r="B23" s="8" t="s">
        <v>28</v>
      </c>
      <c r="C23" s="9">
        <v>1</v>
      </c>
      <c r="D23" s="10">
        <v>3</v>
      </c>
      <c r="E23" s="11">
        <f t="shared" si="1"/>
        <v>3</v>
      </c>
    </row>
    <row r="24" spans="1:7" ht="15.75" x14ac:dyDescent="0.25">
      <c r="A24" s="7">
        <v>21</v>
      </c>
      <c r="B24" s="14" t="s">
        <v>29</v>
      </c>
      <c r="C24" s="9">
        <v>0</v>
      </c>
      <c r="D24" s="10">
        <v>2</v>
      </c>
      <c r="E24" s="11">
        <f t="shared" si="1"/>
        <v>0</v>
      </c>
    </row>
    <row r="25" spans="1:7" ht="15.75" x14ac:dyDescent="0.25">
      <c r="A25" s="7">
        <v>22</v>
      </c>
      <c r="B25" s="8" t="s">
        <v>30</v>
      </c>
      <c r="C25" s="9">
        <v>1</v>
      </c>
      <c r="D25" s="10">
        <v>3</v>
      </c>
      <c r="E25" s="11">
        <f t="shared" si="1"/>
        <v>3</v>
      </c>
    </row>
    <row r="26" spans="1:7" ht="15.75" x14ac:dyDescent="0.25">
      <c r="A26" s="7">
        <v>23</v>
      </c>
      <c r="B26" s="14" t="s">
        <v>31</v>
      </c>
      <c r="C26" s="9">
        <v>0</v>
      </c>
      <c r="D26" s="10">
        <v>3</v>
      </c>
      <c r="E26" s="11">
        <f t="shared" si="1"/>
        <v>0</v>
      </c>
    </row>
    <row r="27" spans="1:7" ht="15.75" x14ac:dyDescent="0.25">
      <c r="A27" s="7">
        <v>24</v>
      </c>
      <c r="B27" s="13" t="s">
        <v>32</v>
      </c>
      <c r="C27" s="9">
        <v>1</v>
      </c>
      <c r="D27" s="10">
        <v>3</v>
      </c>
      <c r="E27" s="11">
        <f t="shared" si="1"/>
        <v>3</v>
      </c>
    </row>
    <row r="28" spans="1:7" ht="15.75" x14ac:dyDescent="0.25">
      <c r="A28" s="7">
        <v>25</v>
      </c>
      <c r="B28" s="13" t="s">
        <v>33</v>
      </c>
      <c r="C28" s="9">
        <v>1</v>
      </c>
      <c r="D28" s="10">
        <v>3</v>
      </c>
      <c r="E28" s="11">
        <f t="shared" si="1"/>
        <v>3</v>
      </c>
    </row>
    <row r="29" spans="1:7" ht="15.75" x14ac:dyDescent="0.25">
      <c r="A29" s="7">
        <v>26</v>
      </c>
      <c r="B29" s="16" t="s">
        <v>34</v>
      </c>
      <c r="C29" s="9">
        <v>1</v>
      </c>
      <c r="D29" s="10">
        <v>3</v>
      </c>
      <c r="E29" s="11">
        <f t="shared" si="1"/>
        <v>3</v>
      </c>
    </row>
    <row r="30" spans="1:7" ht="15.75" x14ac:dyDescent="0.25">
      <c r="A30" s="7">
        <v>27</v>
      </c>
      <c r="B30" s="16" t="s">
        <v>35</v>
      </c>
      <c r="C30" s="9">
        <v>1</v>
      </c>
      <c r="D30" s="10">
        <v>2</v>
      </c>
      <c r="E30" s="11">
        <f t="shared" si="1"/>
        <v>2</v>
      </c>
    </row>
    <row r="31" spans="1:7" ht="15.75" x14ac:dyDescent="0.25">
      <c r="A31" s="7">
        <v>28</v>
      </c>
      <c r="B31" s="13" t="s">
        <v>36</v>
      </c>
      <c r="C31" s="9">
        <v>1</v>
      </c>
      <c r="D31" s="10">
        <v>3</v>
      </c>
      <c r="E31" s="11">
        <f t="shared" si="1"/>
        <v>3</v>
      </c>
    </row>
    <row r="32" spans="1:7" ht="15.75" x14ac:dyDescent="0.25">
      <c r="A32" s="7">
        <v>29</v>
      </c>
      <c r="B32" s="16" t="s">
        <v>37</v>
      </c>
      <c r="C32" s="9">
        <v>1</v>
      </c>
      <c r="D32" s="10">
        <v>3</v>
      </c>
      <c r="E32" s="11">
        <f t="shared" si="1"/>
        <v>3</v>
      </c>
    </row>
    <row r="33" spans="1:7" ht="15.75" x14ac:dyDescent="0.25">
      <c r="A33" s="7">
        <v>30</v>
      </c>
      <c r="B33" s="8" t="s">
        <v>38</v>
      </c>
      <c r="C33" s="9">
        <v>1</v>
      </c>
      <c r="D33" s="10">
        <v>2</v>
      </c>
      <c r="E33" s="11">
        <f t="shared" si="1"/>
        <v>2</v>
      </c>
    </row>
    <row r="34" spans="1:7" ht="15" customHeight="1" x14ac:dyDescent="0.25">
      <c r="A34" s="5" t="s">
        <v>39</v>
      </c>
      <c r="B34" s="5"/>
      <c r="C34" s="5"/>
      <c r="D34" s="5"/>
      <c r="E34" s="5"/>
      <c r="F34" s="15"/>
      <c r="G34" s="15"/>
    </row>
    <row r="35" spans="1:7" ht="15.75" x14ac:dyDescent="0.25">
      <c r="A35" s="7">
        <v>31</v>
      </c>
      <c r="B35" s="13" t="s">
        <v>40</v>
      </c>
      <c r="C35" s="9">
        <v>0</v>
      </c>
      <c r="D35" s="10">
        <v>3</v>
      </c>
      <c r="E35" s="11">
        <f t="shared" ref="E35:E55" si="2">+(C35*D35)</f>
        <v>0</v>
      </c>
    </row>
    <row r="36" spans="1:7" ht="15.75" x14ac:dyDescent="0.25">
      <c r="A36" s="7">
        <v>32</v>
      </c>
      <c r="B36" s="16" t="s">
        <v>41</v>
      </c>
      <c r="C36" s="9">
        <v>1</v>
      </c>
      <c r="D36" s="10">
        <v>3</v>
      </c>
      <c r="E36" s="11">
        <f t="shared" si="2"/>
        <v>3</v>
      </c>
    </row>
    <row r="37" spans="1:7" ht="15.75" x14ac:dyDescent="0.25">
      <c r="A37" s="7">
        <v>33</v>
      </c>
      <c r="B37" s="13" t="s">
        <v>42</v>
      </c>
      <c r="C37" s="9">
        <v>1</v>
      </c>
      <c r="D37" s="10">
        <v>3</v>
      </c>
      <c r="E37" s="11">
        <f t="shared" si="2"/>
        <v>3</v>
      </c>
    </row>
    <row r="38" spans="1:7" ht="15.75" x14ac:dyDescent="0.25">
      <c r="A38" s="7">
        <v>34</v>
      </c>
      <c r="B38" s="14" t="s">
        <v>43</v>
      </c>
      <c r="C38" s="9">
        <v>0</v>
      </c>
      <c r="D38" s="10">
        <v>2</v>
      </c>
      <c r="E38" s="11">
        <f t="shared" si="2"/>
        <v>0</v>
      </c>
    </row>
    <row r="39" spans="1:7" ht="15.75" x14ac:dyDescent="0.25">
      <c r="A39" s="7">
        <v>35</v>
      </c>
      <c r="B39" s="13" t="s">
        <v>44</v>
      </c>
      <c r="C39" s="9">
        <v>1</v>
      </c>
      <c r="D39" s="10">
        <v>3</v>
      </c>
      <c r="E39" s="11">
        <f t="shared" si="2"/>
        <v>3</v>
      </c>
    </row>
    <row r="40" spans="1:7" ht="15.75" x14ac:dyDescent="0.25">
      <c r="A40" s="7">
        <v>36</v>
      </c>
      <c r="B40" s="16" t="s">
        <v>45</v>
      </c>
      <c r="C40" s="9">
        <v>1</v>
      </c>
      <c r="D40" s="10">
        <v>3</v>
      </c>
      <c r="E40" s="11">
        <f t="shared" si="2"/>
        <v>3</v>
      </c>
    </row>
    <row r="41" spans="1:7" ht="15.75" x14ac:dyDescent="0.25">
      <c r="A41" s="7">
        <v>37</v>
      </c>
      <c r="B41" s="16" t="s">
        <v>46</v>
      </c>
      <c r="C41" s="9">
        <v>1</v>
      </c>
      <c r="D41" s="10">
        <v>3</v>
      </c>
      <c r="E41" s="11">
        <f t="shared" si="2"/>
        <v>3</v>
      </c>
    </row>
    <row r="42" spans="1:7" ht="15.75" x14ac:dyDescent="0.25">
      <c r="A42" s="7">
        <v>38</v>
      </c>
      <c r="B42" s="16" t="s">
        <v>47</v>
      </c>
      <c r="C42" s="9">
        <v>1</v>
      </c>
      <c r="D42" s="10">
        <v>3</v>
      </c>
      <c r="E42" s="11">
        <f t="shared" si="2"/>
        <v>3</v>
      </c>
    </row>
    <row r="43" spans="1:7" ht="15.75" x14ac:dyDescent="0.25">
      <c r="A43" s="7">
        <v>39</v>
      </c>
      <c r="B43" s="8" t="s">
        <v>48</v>
      </c>
      <c r="C43" s="9">
        <v>1</v>
      </c>
      <c r="D43" s="10">
        <v>3</v>
      </c>
      <c r="E43" s="11">
        <f t="shared" si="2"/>
        <v>3</v>
      </c>
    </row>
    <row r="44" spans="1:7" ht="15.75" x14ac:dyDescent="0.25">
      <c r="A44" s="7">
        <v>40</v>
      </c>
      <c r="B44" s="16" t="s">
        <v>49</v>
      </c>
      <c r="C44" s="9">
        <v>1</v>
      </c>
      <c r="D44" s="10">
        <v>3</v>
      </c>
      <c r="E44" s="11">
        <f t="shared" si="2"/>
        <v>3</v>
      </c>
    </row>
    <row r="45" spans="1:7" ht="15.75" x14ac:dyDescent="0.25">
      <c r="A45" s="7">
        <v>41</v>
      </c>
      <c r="B45" s="16" t="s">
        <v>50</v>
      </c>
      <c r="C45" s="9">
        <v>1</v>
      </c>
      <c r="D45" s="10">
        <v>2</v>
      </c>
      <c r="E45" s="11">
        <f t="shared" si="2"/>
        <v>2</v>
      </c>
    </row>
    <row r="46" spans="1:7" ht="15.75" x14ac:dyDescent="0.25">
      <c r="A46" s="7">
        <v>42</v>
      </c>
      <c r="B46" s="16" t="s">
        <v>51</v>
      </c>
      <c r="C46" s="9">
        <v>1</v>
      </c>
      <c r="D46" s="10">
        <v>3</v>
      </c>
      <c r="E46" s="11">
        <f t="shared" si="2"/>
        <v>3</v>
      </c>
    </row>
    <row r="47" spans="1:7" ht="15.75" x14ac:dyDescent="0.25">
      <c r="A47" s="7">
        <v>43</v>
      </c>
      <c r="B47" s="16" t="s">
        <v>52</v>
      </c>
      <c r="C47" s="9">
        <v>1</v>
      </c>
      <c r="D47" s="10">
        <v>2</v>
      </c>
      <c r="E47" s="11">
        <f t="shared" si="2"/>
        <v>2</v>
      </c>
    </row>
    <row r="48" spans="1:7" ht="15.75" x14ac:dyDescent="0.25">
      <c r="A48" s="7">
        <v>44</v>
      </c>
      <c r="B48" s="16" t="s">
        <v>53</v>
      </c>
      <c r="C48" s="9">
        <v>0</v>
      </c>
      <c r="D48" s="10">
        <v>2</v>
      </c>
      <c r="E48" s="11">
        <f t="shared" si="2"/>
        <v>0</v>
      </c>
    </row>
    <row r="49" spans="1:7" ht="15.75" x14ac:dyDescent="0.25">
      <c r="A49" s="7">
        <v>45</v>
      </c>
      <c r="B49" s="16" t="s">
        <v>54</v>
      </c>
      <c r="C49" s="9">
        <v>0</v>
      </c>
      <c r="D49" s="10">
        <v>3</v>
      </c>
      <c r="E49" s="11">
        <f t="shared" si="2"/>
        <v>0</v>
      </c>
    </row>
    <row r="50" spans="1:7" ht="15.75" x14ac:dyDescent="0.25">
      <c r="A50" s="7">
        <v>46</v>
      </c>
      <c r="B50" s="16" t="s">
        <v>55</v>
      </c>
      <c r="C50" s="9">
        <v>0</v>
      </c>
      <c r="D50" s="10">
        <v>3</v>
      </c>
      <c r="E50" s="11">
        <f t="shared" si="2"/>
        <v>0</v>
      </c>
    </row>
    <row r="51" spans="1:7" ht="30.75" customHeight="1" x14ac:dyDescent="0.25">
      <c r="A51" s="7">
        <v>47</v>
      </c>
      <c r="B51" s="16" t="s">
        <v>56</v>
      </c>
      <c r="C51" s="9">
        <v>1</v>
      </c>
      <c r="D51" s="10">
        <v>2</v>
      </c>
      <c r="E51" s="11">
        <f t="shared" si="2"/>
        <v>2</v>
      </c>
    </row>
    <row r="52" spans="1:7" ht="15.75" x14ac:dyDescent="0.25">
      <c r="A52" s="7">
        <v>48</v>
      </c>
      <c r="B52" s="16" t="s">
        <v>57</v>
      </c>
      <c r="C52" s="9">
        <v>1</v>
      </c>
      <c r="D52" s="10">
        <v>3</v>
      </c>
      <c r="E52" s="11">
        <f t="shared" si="2"/>
        <v>3</v>
      </c>
    </row>
    <row r="53" spans="1:7" ht="46.5" customHeight="1" x14ac:dyDescent="0.25">
      <c r="A53" s="7">
        <v>49</v>
      </c>
      <c r="B53" s="16" t="s">
        <v>58</v>
      </c>
      <c r="C53" s="9">
        <v>1</v>
      </c>
      <c r="D53" s="10">
        <v>3</v>
      </c>
      <c r="E53" s="11">
        <f t="shared" si="2"/>
        <v>3</v>
      </c>
    </row>
    <row r="54" spans="1:7" ht="15.75" x14ac:dyDescent="0.25">
      <c r="A54" s="7">
        <v>50</v>
      </c>
      <c r="B54" s="16" t="s">
        <v>59</v>
      </c>
      <c r="C54" s="9">
        <v>1</v>
      </c>
      <c r="D54" s="10">
        <v>3</v>
      </c>
      <c r="E54" s="11">
        <f t="shared" si="2"/>
        <v>3</v>
      </c>
    </row>
    <row r="55" spans="1:7" ht="15.75" x14ac:dyDescent="0.25">
      <c r="A55" s="7">
        <v>51</v>
      </c>
      <c r="B55" s="16" t="s">
        <v>60</v>
      </c>
      <c r="C55" s="9">
        <v>1</v>
      </c>
      <c r="D55" s="10">
        <v>2</v>
      </c>
      <c r="E55" s="11">
        <f t="shared" si="2"/>
        <v>2</v>
      </c>
    </row>
    <row r="56" spans="1:7" ht="15.75" x14ac:dyDescent="0.25">
      <c r="A56" s="4" t="s">
        <v>61</v>
      </c>
      <c r="B56" s="4"/>
      <c r="C56" s="17"/>
      <c r="D56" s="17"/>
      <c r="E56" s="17"/>
      <c r="F56" s="15"/>
      <c r="G56" s="15"/>
    </row>
    <row r="57" spans="1:7" ht="15.75" x14ac:dyDescent="0.25">
      <c r="A57" s="18"/>
      <c r="B57" s="18"/>
    </row>
  </sheetData>
  <sheetProtection algorithmName="SHA-512" hashValue="8Sjagh8FIroSy669Pr93sIzIjoH5UC5azhN+fvAuhIE4LIt+5d/adj7PtNx1p6FllD0bGQfZxB2yr5XfZ5aKEg==" saltValue="vFi7QCGtu7Ayey65AfS7uA==" spinCount="100000" sheet="1" objects="1" scenarios="1"/>
  <mergeCells count="4">
    <mergeCell ref="A2:G2"/>
    <mergeCell ref="A19:E19"/>
    <mergeCell ref="A34:E34"/>
    <mergeCell ref="A56:B56"/>
  </mergeCells>
  <phoneticPr fontId="16" type="noConversion"/>
  <dataValidations count="1">
    <dataValidation type="list" allowBlank="1" showInputMessage="1" showErrorMessage="1" sqref="C3:C18 C20:C33 C35:C55" xr:uid="{00000000-0002-0000-0000-000000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zoomScaleNormal="100" workbookViewId="0">
      <pane ySplit="1" topLeftCell="A2" activePane="bottomLeft" state="frozen"/>
      <selection pane="bottomLeft" activeCell="E7" sqref="E7"/>
    </sheetView>
  </sheetViews>
  <sheetFormatPr defaultColWidth="8.625" defaultRowHeight="15" customHeight="1" x14ac:dyDescent="0.25"/>
  <cols>
    <col min="1" max="1" width="8" customWidth="1"/>
    <col min="2" max="2" width="72" customWidth="1"/>
    <col min="3" max="3" width="14" customWidth="1"/>
    <col min="4" max="4" width="16" customWidth="1"/>
    <col min="5" max="5" width="14.25" bestFit="1" customWidth="1"/>
    <col min="6" max="6" width="42" customWidth="1"/>
  </cols>
  <sheetData>
    <row r="1" spans="1:6" x14ac:dyDescent="0.25">
      <c r="A1" s="19" t="s">
        <v>0</v>
      </c>
      <c r="B1" s="19" t="s">
        <v>62</v>
      </c>
      <c r="C1" s="19" t="s">
        <v>63</v>
      </c>
      <c r="D1" s="19" t="s">
        <v>64</v>
      </c>
      <c r="E1" s="19" t="s">
        <v>65</v>
      </c>
      <c r="F1" s="19" t="s">
        <v>66</v>
      </c>
    </row>
    <row r="2" spans="1:6" x14ac:dyDescent="0.25">
      <c r="A2">
        <v>1</v>
      </c>
      <c r="B2" t="s">
        <v>8</v>
      </c>
      <c r="C2" t="s">
        <v>67</v>
      </c>
      <c r="D2" s="20">
        <v>1</v>
      </c>
      <c r="E2">
        <v>323759169</v>
      </c>
      <c r="F2" t="s">
        <v>68</v>
      </c>
    </row>
    <row r="3" spans="1:6" x14ac:dyDescent="0.25">
      <c r="A3">
        <v>2</v>
      </c>
      <c r="B3" t="s">
        <v>9</v>
      </c>
      <c r="C3" t="s">
        <v>69</v>
      </c>
      <c r="D3" s="20">
        <v>0</v>
      </c>
      <c r="E3">
        <v>82004137</v>
      </c>
      <c r="F3" t="s">
        <v>68</v>
      </c>
    </row>
    <row r="4" spans="1:6" x14ac:dyDescent="0.25">
      <c r="A4">
        <v>3</v>
      </c>
      <c r="B4" t="s">
        <v>10</v>
      </c>
      <c r="C4" t="s">
        <v>67</v>
      </c>
      <c r="D4" s="20">
        <v>1</v>
      </c>
      <c r="E4">
        <v>1987417190</v>
      </c>
      <c r="F4" t="s">
        <v>68</v>
      </c>
    </row>
    <row r="5" spans="1:6" x14ac:dyDescent="0.25">
      <c r="A5">
        <v>4</v>
      </c>
      <c r="B5" t="s">
        <v>11</v>
      </c>
      <c r="C5" t="s">
        <v>69</v>
      </c>
      <c r="D5" s="20">
        <v>0</v>
      </c>
      <c r="E5">
        <v>9418852</v>
      </c>
      <c r="F5" t="s">
        <v>68</v>
      </c>
    </row>
    <row r="6" spans="1:6" x14ac:dyDescent="0.25">
      <c r="A6">
        <v>5</v>
      </c>
      <c r="B6" t="s">
        <v>12</v>
      </c>
      <c r="C6" t="s">
        <v>67</v>
      </c>
      <c r="D6" s="20">
        <v>1</v>
      </c>
      <c r="E6">
        <v>1883440044</v>
      </c>
      <c r="F6" t="s">
        <v>68</v>
      </c>
    </row>
    <row r="7" spans="1:6" x14ac:dyDescent="0.25">
      <c r="A7">
        <v>6</v>
      </c>
      <c r="B7" t="s">
        <v>13</v>
      </c>
      <c r="C7" t="s">
        <v>69</v>
      </c>
      <c r="D7" s="20">
        <v>0</v>
      </c>
      <c r="E7">
        <v>995752339</v>
      </c>
      <c r="F7" t="s">
        <v>68</v>
      </c>
    </row>
    <row r="8" spans="1:6" x14ac:dyDescent="0.25">
      <c r="A8">
        <v>7</v>
      </c>
      <c r="B8" t="s">
        <v>14</v>
      </c>
      <c r="C8" t="s">
        <v>67</v>
      </c>
      <c r="D8" s="20">
        <v>1</v>
      </c>
      <c r="E8">
        <v>1051837859</v>
      </c>
      <c r="F8" t="s">
        <v>68</v>
      </c>
    </row>
    <row r="9" spans="1:6" x14ac:dyDescent="0.25">
      <c r="A9">
        <v>8</v>
      </c>
      <c r="B9" t="s">
        <v>15</v>
      </c>
      <c r="C9" t="s">
        <v>69</v>
      </c>
      <c r="D9" s="20">
        <v>0</v>
      </c>
      <c r="E9">
        <v>1765180180</v>
      </c>
      <c r="F9" t="s">
        <v>68</v>
      </c>
    </row>
    <row r="10" spans="1:6" x14ac:dyDescent="0.25">
      <c r="A10">
        <v>9</v>
      </c>
      <c r="B10" t="s">
        <v>16</v>
      </c>
      <c r="C10" t="s">
        <v>67</v>
      </c>
      <c r="D10" s="20">
        <v>1</v>
      </c>
      <c r="E10">
        <v>2008722412</v>
      </c>
      <c r="F10" t="s">
        <v>68</v>
      </c>
    </row>
    <row r="11" spans="1:6" x14ac:dyDescent="0.25">
      <c r="A11">
        <v>10</v>
      </c>
      <c r="B11" t="s">
        <v>17</v>
      </c>
      <c r="C11" t="s">
        <v>67</v>
      </c>
      <c r="D11" s="20">
        <v>1</v>
      </c>
      <c r="E11">
        <v>1698878475</v>
      </c>
      <c r="F11" t="s">
        <v>68</v>
      </c>
    </row>
    <row r="12" spans="1:6" x14ac:dyDescent="0.25">
      <c r="A12">
        <v>11</v>
      </c>
      <c r="B12" t="s">
        <v>18</v>
      </c>
      <c r="C12" t="s">
        <v>69</v>
      </c>
      <c r="D12" s="20">
        <v>0</v>
      </c>
      <c r="E12">
        <v>481710899</v>
      </c>
      <c r="F12" t="s">
        <v>68</v>
      </c>
    </row>
    <row r="13" spans="1:6" x14ac:dyDescent="0.25">
      <c r="A13">
        <v>12</v>
      </c>
      <c r="B13" t="s">
        <v>19</v>
      </c>
      <c r="C13" t="s">
        <v>69</v>
      </c>
      <c r="D13" s="20">
        <v>0</v>
      </c>
      <c r="E13">
        <v>1413719077</v>
      </c>
      <c r="F13" t="s">
        <v>68</v>
      </c>
    </row>
    <row r="14" spans="1:6" x14ac:dyDescent="0.25">
      <c r="A14">
        <v>13</v>
      </c>
      <c r="B14" t="s">
        <v>20</v>
      </c>
      <c r="C14" t="s">
        <v>67</v>
      </c>
      <c r="D14" s="20">
        <v>1</v>
      </c>
      <c r="E14">
        <v>760093818</v>
      </c>
      <c r="F14" t="s">
        <v>68</v>
      </c>
    </row>
    <row r="15" spans="1:6" x14ac:dyDescent="0.25">
      <c r="A15">
        <v>14</v>
      </c>
      <c r="B15" t="s">
        <v>21</v>
      </c>
      <c r="C15" t="s">
        <v>67</v>
      </c>
      <c r="D15" s="20">
        <v>1</v>
      </c>
      <c r="E15">
        <v>1368349842</v>
      </c>
      <c r="F15" t="s">
        <v>68</v>
      </c>
    </row>
    <row r="16" spans="1:6" x14ac:dyDescent="0.25">
      <c r="A16">
        <v>15</v>
      </c>
      <c r="B16" t="s">
        <v>22</v>
      </c>
      <c r="C16" t="s">
        <v>69</v>
      </c>
      <c r="D16" s="20">
        <v>0</v>
      </c>
      <c r="E16">
        <v>1271970492</v>
      </c>
      <c r="F16" t="s">
        <v>68</v>
      </c>
    </row>
    <row r="17" spans="1:6" x14ac:dyDescent="0.25">
      <c r="A17">
        <v>16</v>
      </c>
      <c r="B17" t="s">
        <v>23</v>
      </c>
      <c r="C17" t="s">
        <v>69</v>
      </c>
      <c r="D17" s="20">
        <v>0</v>
      </c>
      <c r="E17">
        <v>877627157</v>
      </c>
      <c r="F17" t="s">
        <v>68</v>
      </c>
    </row>
    <row r="18" spans="1:6" x14ac:dyDescent="0.25">
      <c r="A18">
        <v>17</v>
      </c>
      <c r="B18" t="s">
        <v>25</v>
      </c>
      <c r="C18" t="s">
        <v>67</v>
      </c>
      <c r="D18" s="20">
        <v>1</v>
      </c>
      <c r="E18">
        <v>2020922199</v>
      </c>
      <c r="F18" t="s">
        <v>68</v>
      </c>
    </row>
    <row r="19" spans="1:6" x14ac:dyDescent="0.25">
      <c r="A19">
        <v>18</v>
      </c>
      <c r="B19" t="s">
        <v>26</v>
      </c>
      <c r="C19" t="s">
        <v>69</v>
      </c>
      <c r="D19" s="20">
        <v>0</v>
      </c>
      <c r="E19">
        <v>1611470672</v>
      </c>
      <c r="F19" t="s">
        <v>68</v>
      </c>
    </row>
    <row r="20" spans="1:6" x14ac:dyDescent="0.25">
      <c r="A20">
        <v>19</v>
      </c>
      <c r="B20" t="s">
        <v>27</v>
      </c>
      <c r="C20" t="s">
        <v>67</v>
      </c>
      <c r="D20" s="20">
        <v>1</v>
      </c>
      <c r="E20">
        <v>1122366459</v>
      </c>
      <c r="F20" t="s">
        <v>68</v>
      </c>
    </row>
    <row r="21" spans="1:6" x14ac:dyDescent="0.25">
      <c r="A21">
        <v>20</v>
      </c>
      <c r="B21" t="s">
        <v>28</v>
      </c>
      <c r="C21" t="s">
        <v>67</v>
      </c>
      <c r="D21" s="20">
        <v>1</v>
      </c>
      <c r="E21">
        <v>805666638</v>
      </c>
      <c r="F21" t="s">
        <v>68</v>
      </c>
    </row>
    <row r="22" spans="1:6" x14ac:dyDescent="0.25">
      <c r="A22">
        <v>21</v>
      </c>
      <c r="B22" t="s">
        <v>29</v>
      </c>
      <c r="C22" t="s">
        <v>69</v>
      </c>
      <c r="D22" s="20">
        <v>0</v>
      </c>
      <c r="E22">
        <v>1106531246</v>
      </c>
      <c r="F22" t="s">
        <v>68</v>
      </c>
    </row>
    <row r="23" spans="1:6" x14ac:dyDescent="0.25">
      <c r="A23">
        <v>22</v>
      </c>
      <c r="B23" t="s">
        <v>30</v>
      </c>
      <c r="C23" t="s">
        <v>67</v>
      </c>
      <c r="D23" s="20">
        <v>1</v>
      </c>
      <c r="E23">
        <v>757943502</v>
      </c>
      <c r="F23" t="s">
        <v>68</v>
      </c>
    </row>
    <row r="24" spans="1:6" x14ac:dyDescent="0.25">
      <c r="A24">
        <v>23</v>
      </c>
      <c r="B24" t="s">
        <v>31</v>
      </c>
      <c r="C24" t="s">
        <v>69</v>
      </c>
      <c r="D24" s="20">
        <v>0</v>
      </c>
      <c r="E24">
        <v>1890093173</v>
      </c>
      <c r="F24" t="s">
        <v>68</v>
      </c>
    </row>
    <row r="25" spans="1:6" x14ac:dyDescent="0.25">
      <c r="A25">
        <v>24</v>
      </c>
      <c r="B25" t="s">
        <v>32</v>
      </c>
      <c r="C25" t="s">
        <v>67</v>
      </c>
      <c r="D25" s="20">
        <v>1</v>
      </c>
      <c r="E25">
        <v>646834192</v>
      </c>
      <c r="F25" t="s">
        <v>68</v>
      </c>
    </row>
    <row r="26" spans="1:6" x14ac:dyDescent="0.25">
      <c r="A26">
        <v>25</v>
      </c>
      <c r="B26" t="s">
        <v>33</v>
      </c>
      <c r="C26" t="s">
        <v>67</v>
      </c>
      <c r="D26" s="20">
        <v>1</v>
      </c>
      <c r="E26">
        <v>181514579</v>
      </c>
      <c r="F26" t="s">
        <v>68</v>
      </c>
    </row>
    <row r="27" spans="1:6" x14ac:dyDescent="0.25">
      <c r="A27">
        <v>26</v>
      </c>
      <c r="B27" t="s">
        <v>34</v>
      </c>
      <c r="C27" t="s">
        <v>67</v>
      </c>
      <c r="D27" s="20">
        <v>1</v>
      </c>
      <c r="E27">
        <v>442357858</v>
      </c>
      <c r="F27" t="s">
        <v>68</v>
      </c>
    </row>
    <row r="28" spans="1:6" x14ac:dyDescent="0.25">
      <c r="A28">
        <v>27</v>
      </c>
      <c r="B28" t="s">
        <v>35</v>
      </c>
      <c r="C28" t="s">
        <v>67</v>
      </c>
      <c r="D28" s="20">
        <v>1</v>
      </c>
      <c r="E28">
        <v>1566086038</v>
      </c>
      <c r="F28" t="s">
        <v>68</v>
      </c>
    </row>
    <row r="29" spans="1:6" x14ac:dyDescent="0.25">
      <c r="A29">
        <v>28</v>
      </c>
      <c r="B29" t="s">
        <v>36</v>
      </c>
      <c r="C29" t="s">
        <v>67</v>
      </c>
      <c r="D29" s="20">
        <v>1</v>
      </c>
      <c r="E29">
        <v>1143121937</v>
      </c>
      <c r="F29" t="s">
        <v>68</v>
      </c>
    </row>
    <row r="30" spans="1:6" x14ac:dyDescent="0.25">
      <c r="A30">
        <v>29</v>
      </c>
      <c r="B30" t="s">
        <v>37</v>
      </c>
      <c r="C30" t="s">
        <v>67</v>
      </c>
      <c r="D30" s="20">
        <v>1</v>
      </c>
      <c r="E30">
        <v>991975350</v>
      </c>
      <c r="F30" t="s">
        <v>68</v>
      </c>
    </row>
    <row r="31" spans="1:6" x14ac:dyDescent="0.25">
      <c r="A31">
        <v>30</v>
      </c>
      <c r="B31" t="s">
        <v>38</v>
      </c>
      <c r="C31" t="s">
        <v>67</v>
      </c>
      <c r="D31" s="20">
        <v>1</v>
      </c>
      <c r="E31">
        <v>410981087</v>
      </c>
      <c r="F31" t="s">
        <v>68</v>
      </c>
    </row>
    <row r="32" spans="1:6" x14ac:dyDescent="0.25">
      <c r="A32">
        <v>31</v>
      </c>
      <c r="B32" t="s">
        <v>40</v>
      </c>
      <c r="C32" t="s">
        <v>69</v>
      </c>
      <c r="D32" s="20">
        <v>0</v>
      </c>
      <c r="E32">
        <v>1755703286</v>
      </c>
      <c r="F32" t="s">
        <v>68</v>
      </c>
    </row>
    <row r="33" spans="1:6" x14ac:dyDescent="0.25">
      <c r="A33">
        <v>32</v>
      </c>
      <c r="B33" t="s">
        <v>41</v>
      </c>
      <c r="C33" t="s">
        <v>67</v>
      </c>
      <c r="D33" s="20">
        <v>1</v>
      </c>
      <c r="E33">
        <v>729555471</v>
      </c>
      <c r="F33" t="s">
        <v>68</v>
      </c>
    </row>
    <row r="34" spans="1:6" x14ac:dyDescent="0.25">
      <c r="A34">
        <v>33</v>
      </c>
      <c r="B34" t="s">
        <v>42</v>
      </c>
      <c r="C34" t="s">
        <v>67</v>
      </c>
      <c r="D34" s="20">
        <v>1</v>
      </c>
      <c r="E34">
        <v>1565644113</v>
      </c>
      <c r="F34" t="s">
        <v>68</v>
      </c>
    </row>
    <row r="35" spans="1:6" x14ac:dyDescent="0.25">
      <c r="A35">
        <v>34</v>
      </c>
      <c r="B35" t="s">
        <v>43</v>
      </c>
      <c r="C35" t="s">
        <v>69</v>
      </c>
      <c r="D35" s="20">
        <v>0</v>
      </c>
      <c r="E35">
        <v>984669732</v>
      </c>
      <c r="F35" t="s">
        <v>68</v>
      </c>
    </row>
    <row r="36" spans="1:6" x14ac:dyDescent="0.25">
      <c r="A36">
        <v>35</v>
      </c>
      <c r="B36" t="s">
        <v>44</v>
      </c>
      <c r="C36" t="s">
        <v>67</v>
      </c>
      <c r="D36" s="20">
        <v>1</v>
      </c>
      <c r="E36">
        <v>107201737</v>
      </c>
      <c r="F36" t="s">
        <v>68</v>
      </c>
    </row>
    <row r="37" spans="1:6" x14ac:dyDescent="0.25">
      <c r="A37">
        <v>36</v>
      </c>
      <c r="B37" t="s">
        <v>45</v>
      </c>
      <c r="C37" t="s">
        <v>67</v>
      </c>
      <c r="D37" s="20">
        <v>1</v>
      </c>
      <c r="E37">
        <v>1018941263</v>
      </c>
      <c r="F37" t="s">
        <v>68</v>
      </c>
    </row>
    <row r="38" spans="1:6" x14ac:dyDescent="0.25">
      <c r="A38">
        <v>37</v>
      </c>
      <c r="B38" t="s">
        <v>46</v>
      </c>
      <c r="C38" t="s">
        <v>67</v>
      </c>
      <c r="D38" s="20">
        <v>1</v>
      </c>
      <c r="E38">
        <v>772936881</v>
      </c>
      <c r="F38" t="s">
        <v>68</v>
      </c>
    </row>
    <row r="39" spans="1:6" x14ac:dyDescent="0.25">
      <c r="A39">
        <v>38</v>
      </c>
      <c r="B39" t="s">
        <v>47</v>
      </c>
      <c r="C39" t="s">
        <v>67</v>
      </c>
      <c r="D39" s="20">
        <v>1</v>
      </c>
      <c r="E39">
        <v>645721566</v>
      </c>
      <c r="F39" t="s">
        <v>68</v>
      </c>
    </row>
    <row r="40" spans="1:6" x14ac:dyDescent="0.25">
      <c r="A40">
        <v>39</v>
      </c>
      <c r="B40" t="s">
        <v>48</v>
      </c>
      <c r="C40" t="s">
        <v>67</v>
      </c>
      <c r="D40" s="20">
        <v>1</v>
      </c>
      <c r="E40">
        <v>1690615540</v>
      </c>
      <c r="F40" t="s">
        <v>68</v>
      </c>
    </row>
    <row r="41" spans="1:6" x14ac:dyDescent="0.25">
      <c r="A41">
        <v>40</v>
      </c>
      <c r="B41" t="s">
        <v>49</v>
      </c>
      <c r="C41" t="s">
        <v>67</v>
      </c>
      <c r="D41" s="20">
        <v>1</v>
      </c>
      <c r="E41">
        <v>1820865330</v>
      </c>
      <c r="F41" t="s">
        <v>68</v>
      </c>
    </row>
    <row r="42" spans="1:6" x14ac:dyDescent="0.25">
      <c r="A42">
        <v>41</v>
      </c>
      <c r="B42" t="s">
        <v>50</v>
      </c>
      <c r="C42" t="s">
        <v>67</v>
      </c>
      <c r="D42" s="20">
        <v>1</v>
      </c>
      <c r="E42">
        <v>1538328602</v>
      </c>
      <c r="F42" t="s">
        <v>68</v>
      </c>
    </row>
    <row r="43" spans="1:6" x14ac:dyDescent="0.25">
      <c r="A43">
        <v>42</v>
      </c>
      <c r="B43" t="s">
        <v>51</v>
      </c>
      <c r="C43" t="s">
        <v>67</v>
      </c>
      <c r="D43" s="20">
        <v>1</v>
      </c>
      <c r="E43">
        <v>1735518269</v>
      </c>
      <c r="F43" t="s">
        <v>68</v>
      </c>
    </row>
    <row r="44" spans="1:6" x14ac:dyDescent="0.25">
      <c r="A44">
        <v>43</v>
      </c>
      <c r="B44" t="s">
        <v>52</v>
      </c>
      <c r="C44" t="s">
        <v>67</v>
      </c>
      <c r="D44" s="20">
        <v>1</v>
      </c>
      <c r="E44">
        <v>1897585813</v>
      </c>
      <c r="F44" t="s">
        <v>68</v>
      </c>
    </row>
    <row r="45" spans="1:6" x14ac:dyDescent="0.25">
      <c r="A45">
        <v>44</v>
      </c>
      <c r="B45" t="s">
        <v>53</v>
      </c>
      <c r="C45" t="s">
        <v>69</v>
      </c>
      <c r="D45" s="20">
        <v>0</v>
      </c>
      <c r="E45">
        <v>2026222503</v>
      </c>
      <c r="F45" t="s">
        <v>68</v>
      </c>
    </row>
    <row r="46" spans="1:6" x14ac:dyDescent="0.25">
      <c r="A46">
        <v>45</v>
      </c>
      <c r="B46" t="s">
        <v>54</v>
      </c>
      <c r="C46" t="s">
        <v>69</v>
      </c>
      <c r="D46" s="20">
        <v>0</v>
      </c>
      <c r="E46">
        <v>206639600</v>
      </c>
      <c r="F46" t="s">
        <v>68</v>
      </c>
    </row>
    <row r="47" spans="1:6" x14ac:dyDescent="0.25">
      <c r="A47">
        <v>46</v>
      </c>
      <c r="B47" t="s">
        <v>55</v>
      </c>
      <c r="C47" t="s">
        <v>69</v>
      </c>
      <c r="D47" s="20">
        <v>0</v>
      </c>
      <c r="E47">
        <v>1920004534</v>
      </c>
      <c r="F47" t="s">
        <v>68</v>
      </c>
    </row>
    <row r="48" spans="1:6" x14ac:dyDescent="0.25">
      <c r="A48">
        <v>47</v>
      </c>
      <c r="B48" t="s">
        <v>56</v>
      </c>
      <c r="C48" t="s">
        <v>67</v>
      </c>
      <c r="D48" s="20">
        <v>1</v>
      </c>
      <c r="E48">
        <v>1892973295</v>
      </c>
      <c r="F48" t="s">
        <v>68</v>
      </c>
    </row>
    <row r="49" spans="1:6" x14ac:dyDescent="0.25">
      <c r="A49">
        <v>48</v>
      </c>
      <c r="B49" t="s">
        <v>57</v>
      </c>
      <c r="C49" t="s">
        <v>67</v>
      </c>
      <c r="D49" s="20">
        <v>1</v>
      </c>
      <c r="E49">
        <v>1693752225</v>
      </c>
      <c r="F49" t="s">
        <v>68</v>
      </c>
    </row>
    <row r="50" spans="1:6" x14ac:dyDescent="0.25">
      <c r="A50">
        <v>49</v>
      </c>
      <c r="B50" t="s">
        <v>58</v>
      </c>
      <c r="C50" t="s">
        <v>67</v>
      </c>
      <c r="D50" s="20">
        <v>1</v>
      </c>
      <c r="E50">
        <v>997170336</v>
      </c>
      <c r="F50" t="s">
        <v>68</v>
      </c>
    </row>
    <row r="51" spans="1:6" x14ac:dyDescent="0.25">
      <c r="A51">
        <v>50</v>
      </c>
      <c r="B51" t="s">
        <v>59</v>
      </c>
      <c r="C51" t="s">
        <v>67</v>
      </c>
      <c r="D51" s="20">
        <v>1</v>
      </c>
      <c r="E51">
        <v>2020940761</v>
      </c>
      <c r="F51" t="s">
        <v>68</v>
      </c>
    </row>
    <row r="52" spans="1:6" x14ac:dyDescent="0.25">
      <c r="A52">
        <v>51</v>
      </c>
      <c r="B52" t="s">
        <v>60</v>
      </c>
      <c r="C52" t="s">
        <v>67</v>
      </c>
      <c r="D52" s="20">
        <v>1</v>
      </c>
      <c r="E52">
        <v>831454077</v>
      </c>
      <c r="F52" t="s">
        <v>68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32"/>
  <sheetViews>
    <sheetView tabSelected="1" zoomScale="90" zoomScaleNormal="100" workbookViewId="0">
      <pane xSplit="1" ySplit="7" topLeftCell="C8" activePane="bottomRight" state="frozen"/>
      <selection pane="topRight" activeCell="B1" sqref="B1"/>
      <selection pane="bottomLeft" activeCell="A8" sqref="A8"/>
      <selection pane="bottomRight" activeCell="S4" sqref="S4"/>
    </sheetView>
  </sheetViews>
  <sheetFormatPr defaultColWidth="8.625" defaultRowHeight="15" customHeight="1" x14ac:dyDescent="0.25"/>
  <cols>
    <col min="1" max="1" width="4" customWidth="1"/>
    <col min="2" max="2" width="28" customWidth="1"/>
    <col min="3" max="3" width="27" customWidth="1"/>
    <col min="4" max="4" width="31.375" customWidth="1"/>
    <col min="5" max="5" width="18" customWidth="1"/>
  </cols>
  <sheetData>
    <row r="2" spans="2:3" ht="21.75" customHeight="1" x14ac:dyDescent="0.3">
      <c r="B2" s="21" t="s">
        <v>70</v>
      </c>
    </row>
    <row r="4" spans="2:3" ht="27.75" x14ac:dyDescent="0.25">
      <c r="B4" s="22" t="s">
        <v>71</v>
      </c>
    </row>
    <row r="8" spans="2:3" ht="15.75" x14ac:dyDescent="0.25">
      <c r="B8" s="23" t="s">
        <v>72</v>
      </c>
    </row>
    <row r="9" spans="2:3" ht="15.75" x14ac:dyDescent="0.25">
      <c r="B9" t="s">
        <v>73</v>
      </c>
      <c r="C9" t="s">
        <v>74</v>
      </c>
    </row>
    <row r="10" spans="2:3" ht="15.75" x14ac:dyDescent="0.25">
      <c r="B10" t="s">
        <v>75</v>
      </c>
      <c r="C10">
        <v>77.099999999999994</v>
      </c>
    </row>
    <row r="11" spans="2:3" ht="15.75" x14ac:dyDescent="0.25">
      <c r="B11" t="s">
        <v>76</v>
      </c>
      <c r="C11">
        <v>63.9</v>
      </c>
    </row>
    <row r="14" spans="2:3" ht="15.75" x14ac:dyDescent="0.25">
      <c r="B14" s="23" t="s">
        <v>77</v>
      </c>
    </row>
    <row r="15" spans="2:3" ht="15.75" x14ac:dyDescent="0.25">
      <c r="B15" t="s">
        <v>78</v>
      </c>
      <c r="C15" t="s">
        <v>74</v>
      </c>
    </row>
    <row r="16" spans="2:3" ht="15.75" x14ac:dyDescent="0.25">
      <c r="B16" t="s">
        <v>79</v>
      </c>
      <c r="C16">
        <v>5</v>
      </c>
    </row>
    <row r="17" spans="2:7" ht="15.75" x14ac:dyDescent="0.25">
      <c r="B17" t="s">
        <v>80</v>
      </c>
      <c r="C17">
        <v>3</v>
      </c>
    </row>
    <row r="18" spans="2:7" ht="15.75" x14ac:dyDescent="0.25">
      <c r="B18" t="s">
        <v>81</v>
      </c>
      <c r="C18">
        <v>5</v>
      </c>
    </row>
    <row r="19" spans="2:7" ht="15.75" x14ac:dyDescent="0.25">
      <c r="B19" t="s">
        <v>82</v>
      </c>
      <c r="C19">
        <v>5</v>
      </c>
    </row>
    <row r="20" spans="2:7" ht="15.75" x14ac:dyDescent="0.25">
      <c r="B20" t="s">
        <v>83</v>
      </c>
      <c r="C20">
        <v>2.5</v>
      </c>
    </row>
    <row r="21" spans="2:7" ht="15.75" x14ac:dyDescent="0.25">
      <c r="B21" t="s">
        <v>84</v>
      </c>
      <c r="C21">
        <v>2</v>
      </c>
    </row>
    <row r="23" spans="2:7" ht="15.75" x14ac:dyDescent="0.25">
      <c r="B23" s="23" t="s">
        <v>85</v>
      </c>
    </row>
    <row r="24" spans="2:7" ht="15.75" x14ac:dyDescent="0.25">
      <c r="B24" t="s">
        <v>86</v>
      </c>
      <c r="C24" s="24" t="s">
        <v>75</v>
      </c>
      <c r="D24" t="s">
        <v>76</v>
      </c>
    </row>
    <row r="25" spans="2:7" ht="15.75" x14ac:dyDescent="0.25">
      <c r="B25" t="s">
        <v>87</v>
      </c>
      <c r="C25" s="24" t="s">
        <v>88</v>
      </c>
      <c r="D25" t="s">
        <v>89</v>
      </c>
    </row>
    <row r="26" spans="2:7" ht="15.75" x14ac:dyDescent="0.25">
      <c r="B26" t="s">
        <v>90</v>
      </c>
      <c r="C26" s="24" t="s">
        <v>91</v>
      </c>
      <c r="D26" t="s">
        <v>92</v>
      </c>
    </row>
    <row r="27" spans="2:7" ht="15.75" x14ac:dyDescent="0.25">
      <c r="B27" t="s">
        <v>93</v>
      </c>
      <c r="C27" s="24" t="s">
        <v>94</v>
      </c>
      <c r="D27" t="s">
        <v>95</v>
      </c>
    </row>
    <row r="28" spans="2:7" ht="15.75" x14ac:dyDescent="0.25">
      <c r="B28" t="s">
        <v>96</v>
      </c>
      <c r="C28" s="24" t="s">
        <v>97</v>
      </c>
      <c r="D28" t="s">
        <v>98</v>
      </c>
    </row>
    <row r="30" spans="2:7" ht="15.75" x14ac:dyDescent="0.25">
      <c r="B30" t="s">
        <v>99</v>
      </c>
      <c r="C30" t="s">
        <v>100</v>
      </c>
    </row>
    <row r="31" spans="2:7" ht="15" customHeight="1" x14ac:dyDescent="0.25">
      <c r="B31" s="3" t="s">
        <v>101</v>
      </c>
      <c r="C31" s="3"/>
      <c r="D31" s="3"/>
      <c r="E31" s="3"/>
      <c r="F31" s="3"/>
      <c r="G31" s="3"/>
    </row>
    <row r="32" spans="2:7" ht="15.75" x14ac:dyDescent="0.25">
      <c r="B32" s="3"/>
      <c r="C32" s="3"/>
      <c r="D32" s="3"/>
      <c r="E32" s="3"/>
      <c r="F32" s="3"/>
      <c r="G32" s="3"/>
    </row>
  </sheetData>
  <mergeCells count="1">
    <mergeCell ref="B31:G32"/>
  </mergeCells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9"/>
  <sheetViews>
    <sheetView zoomScaleNormal="100" workbookViewId="0">
      <pane xSplit="1" ySplit="7" topLeftCell="B16" activePane="bottomRight" state="frozen"/>
      <selection pane="topRight" activeCell="B1" sqref="B1"/>
      <selection pane="bottomLeft" activeCell="A8" sqref="A8"/>
      <selection pane="bottomRight" activeCell="G28" sqref="G28"/>
    </sheetView>
  </sheetViews>
  <sheetFormatPr defaultColWidth="8.625" defaultRowHeight="15" customHeight="1" x14ac:dyDescent="0.25"/>
  <cols>
    <col min="1" max="1" width="3" customWidth="1"/>
    <col min="2" max="2" width="28" customWidth="1"/>
    <col min="3" max="3" width="27.875" customWidth="1"/>
    <col min="4" max="4" width="38.5" customWidth="1"/>
    <col min="5" max="5" width="24" customWidth="1"/>
    <col min="6" max="7" width="22" customWidth="1"/>
  </cols>
  <sheetData>
    <row r="2" spans="2:7" ht="20.25" x14ac:dyDescent="0.3">
      <c r="B2" s="2" t="s">
        <v>102</v>
      </c>
      <c r="C2" s="2"/>
      <c r="D2" s="2"/>
      <c r="E2" s="2"/>
      <c r="F2" s="2"/>
      <c r="G2" s="2"/>
    </row>
    <row r="4" spans="2:7" ht="15.75" x14ac:dyDescent="0.25">
      <c r="B4" t="s">
        <v>103</v>
      </c>
      <c r="C4" t="s">
        <v>100</v>
      </c>
    </row>
    <row r="5" spans="2:7" ht="15" customHeight="1" x14ac:dyDescent="0.25">
      <c r="B5" t="s">
        <v>104</v>
      </c>
      <c r="C5" s="1" t="s">
        <v>105</v>
      </c>
      <c r="D5" s="1"/>
      <c r="E5" s="1"/>
      <c r="F5" s="1"/>
      <c r="G5" s="1"/>
    </row>
    <row r="6" spans="2:7" ht="15.75" x14ac:dyDescent="0.25">
      <c r="C6" s="1"/>
      <c r="D6" s="1"/>
      <c r="E6" s="1"/>
      <c r="F6" s="1"/>
      <c r="G6" s="1"/>
    </row>
    <row r="8" spans="2:7" ht="15.75" x14ac:dyDescent="0.25">
      <c r="B8" s="25" t="s">
        <v>106</v>
      </c>
      <c r="E8" s="25" t="s">
        <v>107</v>
      </c>
    </row>
    <row r="9" spans="2:7" ht="15.75" x14ac:dyDescent="0.25">
      <c r="B9" s="26" t="s">
        <v>73</v>
      </c>
      <c r="C9" s="27" t="s">
        <v>74</v>
      </c>
      <c r="E9" s="26" t="s">
        <v>108</v>
      </c>
      <c r="F9" s="26" t="s">
        <v>109</v>
      </c>
      <c r="G9" s="26" t="s">
        <v>110</v>
      </c>
    </row>
    <row r="10" spans="2:7" ht="15.75" x14ac:dyDescent="0.25">
      <c r="B10" s="28" t="s">
        <v>75</v>
      </c>
      <c r="C10" s="29">
        <v>0.7712</v>
      </c>
      <c r="E10" s="28" t="s">
        <v>111</v>
      </c>
      <c r="F10" s="29">
        <v>0.52380000000000004</v>
      </c>
      <c r="G10" s="28">
        <v>42</v>
      </c>
    </row>
    <row r="11" spans="2:7" ht="15.75" x14ac:dyDescent="0.25">
      <c r="B11" s="28" t="s">
        <v>76</v>
      </c>
      <c r="C11" s="29">
        <v>0.63859999999999995</v>
      </c>
      <c r="E11" s="28" t="s">
        <v>112</v>
      </c>
      <c r="F11" s="29">
        <v>0.78949999999999998</v>
      </c>
      <c r="G11" s="28">
        <v>38</v>
      </c>
    </row>
    <row r="12" spans="2:7" ht="15.75" x14ac:dyDescent="0.25">
      <c r="E12" s="28" t="s">
        <v>113</v>
      </c>
      <c r="F12" s="29">
        <v>0.77190000000000003</v>
      </c>
      <c r="G12" s="28">
        <v>57</v>
      </c>
    </row>
    <row r="15" spans="2:7" ht="15.75" x14ac:dyDescent="0.25">
      <c r="B15" s="25" t="s">
        <v>114</v>
      </c>
    </row>
    <row r="16" spans="2:7" ht="42.75" x14ac:dyDescent="0.25">
      <c r="B16" s="30" t="s">
        <v>86</v>
      </c>
      <c r="C16" s="30" t="s">
        <v>75</v>
      </c>
      <c r="D16" s="30" t="s">
        <v>76</v>
      </c>
    </row>
    <row r="17" spans="2:4" ht="47.25" x14ac:dyDescent="0.25">
      <c r="B17" s="31" t="s">
        <v>115</v>
      </c>
      <c r="C17" s="31" t="s">
        <v>116</v>
      </c>
      <c r="D17" s="31" t="s">
        <v>121</v>
      </c>
    </row>
    <row r="18" spans="2:4" ht="47.25" x14ac:dyDescent="0.25">
      <c r="B18" s="31" t="s">
        <v>117</v>
      </c>
      <c r="C18" s="31" t="s">
        <v>118</v>
      </c>
      <c r="D18" s="31" t="s">
        <v>122</v>
      </c>
    </row>
    <row r="19" spans="2:4" ht="78.75" x14ac:dyDescent="0.25">
      <c r="B19" s="31" t="s">
        <v>120</v>
      </c>
      <c r="C19" s="31" t="s">
        <v>119</v>
      </c>
      <c r="D19" s="31" t="s">
        <v>123</v>
      </c>
    </row>
  </sheetData>
  <mergeCells count="2">
    <mergeCell ref="B2:G2"/>
    <mergeCell ref="C5:G6"/>
  </mergeCells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Mapping_Log</vt:lpstr>
      <vt:lpstr>Career Alignment</vt:lpstr>
      <vt:lpstr>Analytics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江冠緯</cp:lastModifiedBy>
  <dcterms:modified xsi:type="dcterms:W3CDTF">2026-03-12T08:00:38Z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2020-09-25T13:53:58Z</dcterms:created>
  <dc:creator>Microsoft Office User</dc:creator>
  <dc:description/>
  <dc:language>en-US</dc:language>
  <cp:lastModifiedBy>Kara Tucker</cp:lastModifiedBy>
  <dcterms:modified xsi:type="dcterms:W3CDTF">2026-03-12T07:26:11Z</dcterms:modified>
  <cp:revision>0</cp:revision>
  <dc:subject/>
  <dc:title/>
</cp:coreProperties>
</file>